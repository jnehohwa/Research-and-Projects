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5d19e8d50c48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lication Pipeline" sheetId="1" r:id="Rbb88193feca042a9"/>
    <x:sheet xmlns:r="http://schemas.openxmlformats.org/officeDocument/2006/relationships" name="Dashboard" sheetId="2" r:id="Rd3610b80f48f4c7c"/>
    <x:sheet xmlns:r="http://schemas.openxmlformats.org/officeDocument/2006/relationships" name="Guidance" sheetId="3" r:id="R530ad3d383d44329"/>
    <x:sheet xmlns:r="http://schemas.openxmlformats.org/officeDocument/2006/relationships" name="Recruiter Directory" sheetId="4" r:id="Rf7f25f8ab4924bad"/>
  </x:sheets>
</x:workbook>
</file>

<file path=xl/comments1.xml><?xml version="1.0" encoding="utf-8"?>
<x:comments xmlns:x="http://schemas.openxmlformats.org/spreadsheetml/2006/main">
  <x:authors>
    <x:author>tc={9083B752-B078-84F2-2FEF-E441933EA263}</x:author>
  </x:authors>
  <x:commentList>
    <x:comment ref="L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Permit fit is a triage field, not legal advice. Re-check the current government rules against the complete vacancy before applying.
Reply:
    Use 'Needs verification' until duties, salary and contract are known.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€#,##0"/>
    <x:numFmt numFmtId="202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42437"/>
      <x:name val="Carlito"/>
    </x:font>
    <x:font>
      <x:b/>
      <x:sz val="11"/>
      <x:color rgb="FFFFFFFF"/>
      <x:name val="Carlito"/>
    </x:font>
    <x:font>
      <x:b/>
      <x:sz val="11"/>
      <x:color rgb="FF142437"/>
      <x:name val="Carlito"/>
    </x:font>
    <x:font>
      <x:sz val="11"/>
      <x:color rgb="FF1424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2437"/>
      </x:patternFill>
    </x:fill>
    <x:fill>
      <x:patternFill patternType="solid">
        <x:fgColor rgb="FFE8F2F2"/>
      </x:patternFill>
    </x:fill>
    <x:fill>
      <x:patternFill patternType="solid">
        <x:fgColor rgb="FF007575"/>
      </x:patternFill>
    </x:fill>
    <x:fill>
      <x:patternFill patternType="solid">
        <x:fgColor rgb="FFFFF4D6"/>
      </x:patternFill>
    </x:fill>
  </x:fills>
  <x:borders count="2">
    <x:border/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202" fontId="0" fillId="0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76B3A"/>
      </x:font>
      <x:fill>
        <x:patternFill patternType="solid">
          <x:bgColor rgb="FFE7F5EC"/>
        </x:patternFill>
      </x:fill>
    </x:dxf>
    <x:dxf>
      <x:font>
        <x:color rgb="FF9B1C1C"/>
      </x:font>
      <x:fill>
        <x:patternFill patternType="solid">
          <x:bgColor rgb="FFFDE8E7"/>
        </x:patternFill>
      </x:fill>
    </x:dxf>
    <x:dxf>
      <x:font>
        <x:b/>
        <x:color rgb="FF176B3A"/>
      </x:font>
      <x:fill>
        <x:patternFill patternType="solid">
          <x:bgColor rgb="FFE7F5EC"/>
        </x:patternFill>
      </x:fill>
    </x:dxf>
    <x:dxf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67d7a66bd640d9" /><Relationship Type="http://schemas.openxmlformats.org/officeDocument/2006/relationships/theme" Target="/xl/theme/theme1.xml" Id="R5b1a0661ad0e4d1d" /><Relationship Type="http://schemas.openxmlformats.org/officeDocument/2006/relationships/sharedStrings" Target="/xl/sharedStrings.xml" Id="Rcd242ab45c4d463d" /><Relationship Type="http://schemas.openxmlformats.org/officeDocument/2006/relationships/worksheet" Target="/xl/worksheets/sheet1.xml" Id="Rbb88193feca042a9" /><Relationship Type="http://schemas.openxmlformats.org/officeDocument/2006/relationships/worksheet" Target="/xl/worksheets/sheet2.xml" Id="Rd3610b80f48f4c7c" /><Relationship Type="http://schemas.openxmlformats.org/officeDocument/2006/relationships/worksheet" Target="/xl/worksheets/sheet3.xml" Id="R530ad3d383d44329" /><Relationship Type="http://schemas.openxmlformats.org/officeDocument/2006/relationships/worksheet" Target="/xl/worksheets/sheet4.xml" Id="Rf7f25f8ab4924bad" /><Relationship Type="http://schemas.microsoft.com/office/2017/10/relationships/person" Target="/xl/persons/person.xml" Id="R4269ce94778c4b78" /></Relationships>
</file>

<file path=xl/persons/person.xml><?xml version="1.0" encoding="utf-8"?>
<xltc:personList xmlns:xltc="http://schemas.microsoft.com/office/spreadsheetml/2018/threadedcomments">
  <xltc:person displayName="Joshua Nehohwa" id="{38F8CC30-A9B3-45CD-A323-B0C13BD6BA91}"/>
</xltc:personList>
</file>

<file path=xl/tables/table1.xml><?xml version="1.0" encoding="utf-8"?>
<x:table xmlns:x="http://schemas.openxmlformats.org/spreadsheetml/2006/main" id="1" name="ApplicationsTable" displayName="ApplicationsTable" ref="A4:T14" headerRowCount="1" totalsRowCount="0" totalsRowShown="0">
  <x:tableColumns count="20">
    <x:tableColumn id="1" name="Priority"/>
    <x:tableColumn id="2" name="Employer"/>
    <x:tableColumn id="3" name="Role"/>
    <x:tableColumn id="4" name="Location"/>
    <x:tableColumn id="5" name="Level"/>
    <x:tableColumn id="6" name="Status"/>
    <x:tableColumn id="7" name="Date Found"/>
    <x:tableColumn id="8" name="Closing Date"/>
    <x:tableColumn id="9" name="Start"/>
    <x:tableColumn id="10" name="Salary EUR"/>
    <x:tableColumn id="11" name="Role Fit"/>
    <x:tableColumn id="12" name="Permit Fit"/>
    <x:tableColumn id="13" name="Sponsorship Evidence"/>
    <x:tableColumn id="14" name="CV Variant"/>
    <x:tableColumn id="15" name="Next Action"/>
    <x:tableColumn id="16" name="Follow-up"/>
    <x:tableColumn id="17" name="Job URL"/>
    <x:tableColumn id="18" name="Source / Careers URL"/>
    <x:tableColumn id="19" name="Notes"/>
    <x:tableColumn id="20" name="Last Check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cruitersTable" displayName="RecruitersTable" ref="A4:J12" headerRowCount="1" totalsRowCount="0" totalsRowShown="0">
  <x:tableColumns count="10">
    <x:tableColumn id="1" name="Priority"/>
    <x:tableColumn id="2" name="Agency"/>
    <x:tableColumn id="3" name="Technology focus"/>
    <x:tableColumn id="4" name="Irish base"/>
    <x:tableColumn id="5" name="Best first contact"/>
    <x:tableColumn id="6" name="Official contact"/>
    <x:tableColumn id="7" name="WRC legal entity"/>
    <x:tableColumn id="8" name="Licence"/>
    <x:tableColumn id="9" name="Outreach status"/>
    <x:tableColumn id="10" name="Last check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L4" dT="2026-08-26T15:52:59.44" personId="{38F8CC30-A9B3-45CD-A323-B0C13BD6BA91}" id="{9083B752-B078-84F2-2FEF-E441933EA263}">
    <xltc:text>Permit fit is a triage field, not legal advice. Re-check the current government rules against the complete vacancy before applying.</xltc:text>
  </xltc:threadedComment>
  <xltc:threadedComment ref="L4" dT="2026-08-26T15:52:59.443" personId="{38F8CC30-A9B3-45CD-A323-B0C13BD6BA91}" id="{641A220F-0FB9-44B2-B261-B03D4B9F875F}" parentId="{9083B752-B078-84F2-2FEF-E441933EA263}">
    <xltc:text>Use 'Needs verification' until duties, salary and contract are known.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6a352862eb24dfe" /><Relationship Type="http://schemas.openxmlformats.org/officeDocument/2006/relationships/vmlDrawing" Target="/xl/drawings/vmldrawing.vml" Id="R2d33264893e347fc" /><Relationship Type="http://schemas.microsoft.com/office/2017/10/relationships/threadedComment" Target="/xl/threadedcomments/threadedcomment.xml" Id="R7bb149f6cc9a474f" /><Relationship Type="http://schemas.openxmlformats.org/officeDocument/2006/relationships/table" Target="/xl/tables/table1.xml" Id="Rf67cf90cb5b944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2f91e1432654c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9" hidden="0" customWidth="1"/>
    <x:col min="3" max="3" width="29" hidden="0" customWidth="1"/>
    <x:col min="4" max="4" width="15" hidden="0" customWidth="1"/>
    <x:col min="5" max="5" width="12" hidden="0" customWidth="1"/>
    <x:col min="6" max="6" width="18" hidden="0" customWidth="1"/>
    <x:col min="7" max="7" width="12" hidden="0" customWidth="1"/>
    <x:col min="8" max="8" width="12" hidden="0" customWidth="1"/>
    <x:col min="9" max="9" width="14" hidden="0" customWidth="1"/>
    <x:col min="10" max="10" width="12" hidden="0" customWidth="1"/>
    <x:col min="11" max="11" width="9" hidden="0" customWidth="1"/>
    <x:col min="12" max="12" width="17" hidden="0" customWidth="1"/>
    <x:col min="13" max="13" width="25" hidden="0" customWidth="1"/>
    <x:col min="14" max="14" width="18" hidden="0" customWidth="1"/>
    <x:col min="15" max="15" width="30" hidden="0" customWidth="1"/>
    <x:col min="16" max="16" width="12" hidden="0" customWidth="1"/>
    <x:col min="17" max="17" width="43" hidden="0" customWidth="1"/>
    <x:col min="18" max="18" width="38" hidden="0" customWidth="1"/>
    <x:col min="19" max="19" width="40" hidden="0" customWidth="1"/>
    <x:col min="20" max="20" width="12" hidden="0" customWidth="1"/>
  </x:cols>
  <x:sheetData>
    <x:row r="1" ht="30" customHeight="1">
      <x:c r="A1" s="3" t="str">
        <x:v>IRELAND SOFTWARE JOB APPLICATION PIPELINE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0" customHeight="1">
      <x:c r="A2" s="6" t="str">
        <x:v>Use one row per vacancy. Confirm duties, salary, contract and work-permit feasibility before investing in a tailored application.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</x:row>
    <x:row r="4" ht="34" customHeight="1">
      <x:c r="A4" s="11" t="str">
        <x:v>Priority</x:v>
      </x:c>
      <x:c r="B4" s="11" t="str">
        <x:v>Employer</x:v>
      </x:c>
      <x:c r="C4" s="11" t="str">
        <x:v>Role</x:v>
      </x:c>
      <x:c r="D4" s="11" t="str">
        <x:v>Location</x:v>
      </x:c>
      <x:c r="E4" s="11" t="str">
        <x:v>Level</x:v>
      </x:c>
      <x:c r="F4" s="11" t="str">
        <x:v>Status</x:v>
      </x:c>
      <x:c r="G4" s="11" t="str">
        <x:v>Date Found</x:v>
      </x:c>
      <x:c r="H4" s="11" t="str">
        <x:v>Closing Date</x:v>
      </x:c>
      <x:c r="I4" s="11" t="str">
        <x:v>Start</x:v>
      </x:c>
      <x:c r="J4" s="11" t="str">
        <x:v>Salary EUR</x:v>
      </x:c>
      <x:c r="K4" s="11" t="str">
        <x:v>Role Fit</x:v>
      </x:c>
      <x:c r="L4" s="11" t="str">
        <x:v>Permit Fit</x:v>
      </x:c>
      <x:c r="M4" s="11" t="str">
        <x:v>Sponsorship Evidence</x:v>
      </x:c>
      <x:c r="N4" s="11" t="str">
        <x:v>CV Variant</x:v>
      </x:c>
      <x:c r="O4" s="11" t="str">
        <x:v>Next Action</x:v>
      </x:c>
      <x:c r="P4" s="11" t="str">
        <x:v>Follow-up</x:v>
      </x:c>
      <x:c r="Q4" s="11" t="str">
        <x:v>Job URL</x:v>
      </x:c>
      <x:c r="R4" s="11" t="str">
        <x:v>Source / Careers URL</x:v>
      </x:c>
      <x:c r="S4" s="11" t="str">
        <x:v>Notes</x:v>
      </x:c>
      <x:c r="T4" s="11" t="str">
        <x:v>Last Checked</x:v>
      </x:c>
    </x:row>
    <x:row r="5" ht="66" hidden="0" customHeight="1">
      <x:c r="A5" s="14" t="str">
        <x:v>High</x:v>
      </x:c>
      <x:c r="B5" s="14" t="str">
        <x:v>EY Ireland</x:v>
      </x:c>
      <x:c r="C5" s="14" t="str">
        <x:v>Technology Consulting Graduate Programme 2027</x:v>
      </x:c>
      <x:c r="D5" s="14" t="str">
        <x:v>Dublin / Cork</x:v>
      </x:c>
      <x:c r="E5" s="14" t="str">
        <x:v>Graduate</x:v>
      </x:c>
      <x:c r="F5" s="14" t="str">
        <x:v>Tailoring</x:v>
      </x:c>
      <x:c r="G5" s="15" t="n">
        <x:v>46260</x:v>
      </x:c>
      <x:c r="H5" s="15" t="n">
        <x:v>46316</x:v>
      </x:c>
      <x:c r="I5" s="14" t="str">
        <x:v>Main intake Sep 2027</x:v>
      </x:c>
      <x:c r="J5" s="16" t="str"/>
      <x:c r="K5" s="14" t="n">
        <x:v>5</x:v>
      </x:c>
      <x:c r="L5" s="14" t="str">
        <x:v>Strong potential</x:v>
      </x:c>
      <x:c r="M5" s="14" t="str">
        <x:v>EY explicitly welcomes non-EEA graduate applicants and lists Consulting and Technology among permit-supporting programmes</x:v>
      </x:c>
      <x:c r="N5" s="14" t="str">
        <x:v>Graduate software</x:v>
      </x:c>
      <x:c r="O5" s="14" t="str">
        <x:v>Tailor one EY application with Technology Consulting as first preference</x:v>
      </x:c>
      <x:c r="P5" s="15" t="n">
        <x:v>46267</x:v>
      </x:c>
      <x:c r="Q5" s="14" t="str">
        <x:v>https://eyglobal.yello.co/jobs/gi8_dm-yLjEV3rAaBvar2A?job_board_id=c1riT--B2O-KySgYWsZO1Q</x:v>
      </x:c>
      <x:c r="R5" s="14" t="str">
        <x:v>https://www.ey.com/en_ie/careers/what-you-can-do-here/student-programmes</x:v>
      </x:c>
      <x:c r="S5" s="14" t="str">
        <x:v>Best immediate target. EY allows only one graduate application; choose AI &amp; Data and Assurance Technology Risk as alternative preferences if the form permits.</x:v>
      </x:c>
      <x:c r="T5" s="15" t="n">
        <x:v>46260</x:v>
      </x:c>
    </x:row>
    <x:row r="6" ht="52.79999923706055" hidden="0" customHeight="1">
      <x:c r="A6" s="14" t="str">
        <x:v>High</x:v>
      </x:c>
      <x:c r="B6" s="14" t="str">
        <x:v>Susquehanna (SIG)</x:v>
      </x:c>
      <x:c r="C6" s="14" t="str">
        <x:v>Software Developer Graduate: September 2027</x:v>
      </x:c>
      <x:c r="D6" s="14" t="str">
        <x:v>Dublin</x:v>
      </x:c>
      <x:c r="E6" s="14" t="str">
        <x:v>Graduate</x:v>
      </x:c>
      <x:c r="F6" s="14" t="str">
        <x:v>Research</x:v>
      </x:c>
      <x:c r="G6" s="15" t="n">
        <x:v>46255</x:v>
      </x:c>
      <x:c r="H6" s="15" t="str"/>
      <x:c r="I6" s="14" t="str">
        <x:v>Sep 2027</x:v>
      </x:c>
      <x:c r="J6" s="16" t="str"/>
      <x:c r="K6" s="14" t="n">
        <x:v>5</x:v>
      </x:c>
      <x:c r="L6" s="14" t="str">
        <x:v>Needs verification</x:v>
      </x:c>
      <x:c r="M6" s="14" t="str">
        <x:v>Work-permit support and salary not stated</x:v>
      </x:c>
      <x:c r="N6" s="14" t="str">
        <x:v>Graduate software</x:v>
      </x:c>
      <x:c r="O6" s="14" t="str">
        <x:v>Confirm whether May 2027 ceremony satisfies 'graduating in 2027' and whether permit support is available</x:v>
      </x:c>
      <x:c r="P6" s="15" t="n">
        <x:v>46267</x:v>
      </x:c>
      <x:c r="Q6" s="14" t="str">
        <x:v>https://careers.sig.com/recent-graduate/jobs/11337?lang=en-us</x:v>
      </x:c>
      <x:c r="R6" s="14" t="str">
        <x:v>https://careers.sig.com/recent-graduate/jobs/11337?lang=en-us</x:v>
      </x:c>
      <x:c r="S6" s="14" t="str">
        <x:v>Official role is live and requires availability in September 2027. Degree completion is Nov 2026 but ceremony is expected May 2027; eligibility needs confirmation.</x:v>
      </x:c>
      <x:c r="T6" s="15" t="n">
        <x:v>46260</x:v>
      </x:c>
    </x:row>
    <x:row r="7" ht="26.399999618530273" hidden="0" customHeight="1">
      <x:c r="A7" s="14" t="str">
        <x:v>High</x:v>
      </x:c>
      <x:c r="B7" s="14" t="str">
        <x:v>EirGrid</x:v>
      </x:c>
      <x:c r="C7" s="14" t="str">
        <x:v>2027 Graduate Programme - IT / Cyber</x:v>
      </x:c>
      <x:c r="D7" s="14" t="str">
        <x:v>Ireland</x:v>
      </x:c>
      <x:c r="E7" s="14" t="str">
        <x:v>Graduate</x:v>
      </x:c>
      <x:c r="F7" s="14" t="str">
        <x:v>Watchlist</x:v>
      </x:c>
      <x:c r="G7" s="15" t="n">
        <x:v>46252</x:v>
      </x:c>
      <x:c r="H7" s="15" t="n">
        <x:v>46283</x:v>
      </x:c>
      <x:c r="I7" s="14" t="str">
        <x:v>2027</x:v>
      </x:c>
      <x:c r="J7" s="16" t="str"/>
      <x:c r="K7" s="14" t="n">
        <x:v>4</x:v>
      </x:c>
      <x:c r="L7" s="14" t="str">
        <x:v>Needs verification</x:v>
      </x:c>
      <x:c r="M7" s="14" t="str">
        <x:v>Applications open 18 Sep 2026; sponsorship not stated</x:v>
      </x:c>
      <x:c r="N7" s="14" t="str">
        <x:v>Graduate software</x:v>
      </x:c>
      <x:c r="O7" s="14" t="str">
        <x:v>Revisit on opening date and verify permit support, salary and start date</x:v>
      </x:c>
      <x:c r="P7" s="15" t="n">
        <x:v>46283</x:v>
      </x:c>
      <x:c r="Q7" s="14" t="str">
        <x:v>https://www.eirgrid.ie/graduates</x:v>
      </x:c>
      <x:c r="R7" s="14" t="str">
        <x:v>https://www.eirgrid.ie/graduates</x:v>
      </x:c>
      <x:c r="S7" s="14" t="str">
        <x:v>Official page confirms IT and cyber streams and an 18 September 2026 opening.</x:v>
      </x:c>
      <x:c r="T7" s="15" t="n">
        <x:v>46260</x:v>
      </x:c>
    </x:row>
    <x:row r="8" ht="39.599998474121094" hidden="0" customHeight="1">
      <x:c r="A8" s="14" t="str">
        <x:v>Medium</x:v>
      </x:c>
      <x:c r="B8" s="14" t="str">
        <x:v>AIB</x:v>
      </x:c>
      <x:c r="C8" s="14" t="str">
        <x:v>Technology &amp; Data Graduate Programme 2027</x:v>
      </x:c>
      <x:c r="D8" s="14" t="str">
        <x:v>Ireland</x:v>
      </x:c>
      <x:c r="E8" s="14" t="str">
        <x:v>Graduate</x:v>
      </x:c>
      <x:c r="F8" s="14" t="str">
        <x:v>Watchlist</x:v>
      </x:c>
      <x:c r="G8" s="15" t="n">
        <x:v>46260</x:v>
      </x:c>
      <x:c r="H8" s="15" t="str"/>
      <x:c r="I8" s="14" t="str">
        <x:v>2027</x:v>
      </x:c>
      <x:c r="J8" s="16" t="str"/>
      <x:c r="K8" s="14" t="n">
        <x:v>4</x:v>
      </x:c>
      <x:c r="L8" s="14" t="str">
        <x:v>Needs verification</x:v>
      </x:c>
      <x:c r="M8" s="14" t="str">
        <x:v>Official programme page does not currently state permit support or a 2027 opening date</x:v>
      </x:c>
      <x:c r="N8" s="14" t="str">
        <x:v>Graduate software</x:v>
      </x:c>
      <x:c r="O8" s="14" t="str">
        <x:v>Monitor official jobs page through September and assess the live vacancy when posted</x:v>
      </x:c>
      <x:c r="P8" s="15" t="n">
        <x:v>46280</x:v>
      </x:c>
      <x:c r="Q8" s="14" t="str">
        <x:v>https://www.aib.ie/careers/future-talent-programmes</x:v>
      </x:c>
      <x:c r="R8" s="14" t="str">
        <x:v>https://jobs.aib.ie/content/Graduate/?locale=en_GB&amp;res=1&amp;sub_sector_id=14</x:v>
      </x:c>
      <x:c r="S8" s="14" t="str">
        <x:v>Technology &amp; Data is a verified programme area; application timing and non-EEA eligibility remain unresolved.</x:v>
      </x:c>
      <x:c r="T8" s="15" t="n">
        <x:v>46260</x:v>
      </x:c>
    </x:row>
    <x:row r="9" ht="39.599998474121094" hidden="0" customHeight="1">
      <x:c r="A9" s="14" t="str">
        <x:v>Medium</x:v>
      </x:c>
      <x:c r="B9" s="14" t="str">
        <x:v>Bank of Ireland</x:v>
      </x:c>
      <x:c r="C9" s="14" t="str">
        <x:v>Data, Technology &amp; Change Graduate Programme 2027</x:v>
      </x:c>
      <x:c r="D9" s="14" t="str">
        <x:v>Ireland</x:v>
      </x:c>
      <x:c r="E9" s="14" t="str">
        <x:v>Graduate</x:v>
      </x:c>
      <x:c r="F9" s="14" t="str">
        <x:v>Watchlist</x:v>
      </x:c>
      <x:c r="G9" s="15" t="n">
        <x:v>46260</x:v>
      </x:c>
      <x:c r="H9" s="15" t="str"/>
      <x:c r="I9" s="14" t="str">
        <x:v>2027</x:v>
      </x:c>
      <x:c r="J9" s="16" t="str"/>
      <x:c r="K9" s="14" t="n">
        <x:v>4</x:v>
      </x:c>
      <x:c r="L9" s="14" t="str">
        <x:v>Needs verification</x:v>
      </x:c>
      <x:c r="M9" s="14" t="str">
        <x:v>2027 interest sign-up is live; vacancy and permit support are not yet stated</x:v>
      </x:c>
      <x:c r="N9" s="14" t="str">
        <x:v>Graduate software</x:v>
      </x:c>
      <x:c r="O9" s="14" t="str">
        <x:v>Join the official interest list and monitor for the 2027 vacancy</x:v>
      </x:c>
      <x:c r="P9" s="15" t="n">
        <x:v>46280</x:v>
      </x:c>
      <x:c r="Q9" s="14" t="str">
        <x:v>https://careers.bankofireland.com/graduates/bank-of-ireland-graduates-programmes-data-tech-change</x:v>
      </x:c>
      <x:c r="R9" s="14" t="str">
        <x:v>https://careers.bankofireland.com/graduates/bank-of-ireland-graduates-programmes-data-tech-change</x:v>
      </x:c>
      <x:c r="S9" s="14" t="str">
        <x:v>Relevant preference areas include Technology Services &amp; Security and Data &amp; Engineering.</x:v>
      </x:c>
      <x:c r="T9" s="15" t="n">
        <x:v>46260</x:v>
      </x:c>
    </x:row>
    <x:row r="10" ht="26.399999618530273" hidden="0" customHeight="1">
      <x:c r="A10" s="14" t="str">
        <x:v>Medium</x:v>
      </x:c>
      <x:c r="B10" s="14" t="str">
        <x:v>PwC Ireland</x:v>
      </x:c>
      <x:c r="C10" s="14" t="str">
        <x:v>2027 Graduate Programme - technology-related stream</x:v>
      </x:c>
      <x:c r="D10" s="14" t="str">
        <x:v>Ireland</x:v>
      </x:c>
      <x:c r="E10" s="14" t="str">
        <x:v>Graduate</x:v>
      </x:c>
      <x:c r="F10" s="14" t="str">
        <x:v>Watchlist</x:v>
      </x:c>
      <x:c r="G10" s="15" t="n">
        <x:v>46260</x:v>
      </x:c>
      <x:c r="H10" s="15" t="str"/>
      <x:c r="I10" s="14" t="str">
        <x:v>2027</x:v>
      </x:c>
      <x:c r="J10" s="16" t="str"/>
      <x:c r="K10" s="14" t="n">
        <x:v>3</x:v>
      </x:c>
      <x:c r="L10" s="14" t="str">
        <x:v>Needs verification</x:v>
      </x:c>
      <x:c r="M10" s="14" t="str">
        <x:v>2027 roles are not yet confirmed on the official graduate page</x:v>
      </x:c>
      <x:c r="N10" s="14" t="str">
        <x:v>Graduate software</x:v>
      </x:c>
      <x:c r="O10" s="14" t="str">
        <x:v>Monitor official graduate listings and check work-permit support in each role</x:v>
      </x:c>
      <x:c r="P10" s="15" t="n">
        <x:v>46275</x:v>
      </x:c>
      <x:c r="Q10" s="14" t="str">
        <x:v>https://www.pwc.ie/careers-ie/students/graduate-programme/apply.html</x:v>
      </x:c>
      <x:c r="R10" s="14" t="str">
        <x:v>https://www.pwc.ie/careers-ie/students/frequently-asked-questions.html</x:v>
      </x:c>
      <x:c r="S10" s="14" t="str">
        <x:v>Do not use the remaining 2026 listings; wait for a clearly labelled 2027 technology role.</x:v>
      </x:c>
      <x:c r="T10" s="15" t="n">
        <x:v>46260</x:v>
      </x:c>
    </x:row>
    <x:row r="11" ht="52.79999923706055" hidden="0" customHeight="1">
      <x:c r="A11" s="14" t="str">
        <x:v>Medium</x:v>
      </x:c>
      <x:c r="B11" s="14" t="str">
        <x:v>KPMG Ireland</x:v>
      </x:c>
      <x:c r="C11" s="14" t="str">
        <x:v>2027 Graduate Programme - STEM / Technology</x:v>
      </x:c>
      <x:c r="D11" s="14" t="str">
        <x:v>Ireland</x:v>
      </x:c>
      <x:c r="E11" s="14" t="str">
        <x:v>Graduate</x:v>
      </x:c>
      <x:c r="F11" s="14" t="str">
        <x:v>Watchlist</x:v>
      </x:c>
      <x:c r="G11" s="15" t="n">
        <x:v>46260</x:v>
      </x:c>
      <x:c r="H11" s="15" t="str"/>
      <x:c r="I11" s="14" t="str">
        <x:v>2027</x:v>
      </x:c>
      <x:c r="J11" s="16" t="str"/>
      <x:c r="K11" s="14" t="n">
        <x:v>3</x:v>
      </x:c>
      <x:c r="L11" s="14" t="str">
        <x:v>Needs verification</x:v>
      </x:c>
      <x:c r="M11" s="14" t="str">
        <x:v>Official STEM page says graduate applications open each autumn; 2027 vacancy not yet verified</x:v>
      </x:c>
      <x:c r="N11" s="14" t="str">
        <x:v>Graduate software</x:v>
      </x:c>
      <x:c r="O11" s="14" t="str">
        <x:v>Monitor the official graduate page in September</x:v>
      </x:c>
      <x:c r="P11" s="15" t="n">
        <x:v>46280</x:v>
      </x:c>
      <x:c r="Q11" s="14" t="str">
        <x:v>https://kpmg.com/ie/en/careers/stem-opportunities.html</x:v>
      </x:c>
      <x:c r="R11" s="14" t="str">
        <x:v>https://kpmg.com/ie/en/careers/graduate.html</x:v>
      </x:c>
      <x:c r="S11" s="14" t="str">
        <x:v>Potential technology-risk or consulting route; not yet a live verified 2027 vacancy.</x:v>
      </x:c>
      <x:c r="T11" s="15" t="n">
        <x:v>46260</x:v>
      </x:c>
    </x:row>
    <x:row r="12" ht="39.599998474121094" hidden="0" customHeight="1">
      <x:c r="A12" s="14" t="str">
        <x:v>Medium</x:v>
      </x:c>
      <x:c r="B12" s="14" t="str">
        <x:v>Deloitte Ireland</x:v>
      </x:c>
      <x:c r="C12" s="14" t="str">
        <x:v>NextGen Tech Academy / 2027 technology intake</x:v>
      </x:c>
      <x:c r="D12" s="14" t="str">
        <x:v>Dublin</x:v>
      </x:c>
      <x:c r="E12" s="14" t="str">
        <x:v>Graduate / academy</x:v>
      </x:c>
      <x:c r="F12" s="14" t="str">
        <x:v>Watchlist</x:v>
      </x:c>
      <x:c r="G12" s="15" t="n">
        <x:v>46260</x:v>
      </x:c>
      <x:c r="H12" s="15" t="str"/>
      <x:c r="I12" s="14" t="str">
        <x:v>Not stated</x:v>
      </x:c>
      <x:c r="J12" s="16" t="str"/>
      <x:c r="K12" s="14" t="n">
        <x:v>4</x:v>
      </x:c>
      <x:c r="L12" s="14" t="str">
        <x:v>Needs verification</x:v>
      </x:c>
      <x:c r="M12" s="14" t="str">
        <x:v>Programme page does not state the next intake date or permit support</x:v>
      </x:c>
      <x:c r="N12" s="14" t="str">
        <x:v>Graduate software</x:v>
      </x:c>
      <x:c r="O12" s="14" t="str">
        <x:v>Monitor for a 2027 intake; do not apply until timing and eligibility are confirmed</x:v>
      </x:c>
      <x:c r="P12" s="15" t="n">
        <x:v>46280</x:v>
      </x:c>
      <x:c r="Q12" s="14" t="str">
        <x:v>https://www.deloitte.com/ie/en/careers/explore-your-fit/professional-careers/nextgen-ai-academy.html</x:v>
      </x:c>
      <x:c r="R12" s="14" t="str">
        <x:v>https://www.deloitte.com/ie/en/careers.html</x:v>
      </x:c>
      <x:c r="S12" s="14" t="str">
        <x:v>Strong AWS/cloud/AI alignment, but current timing is unresolved.</x:v>
      </x:c>
      <x:c r="T12" s="15" t="n">
        <x:v>46260</x:v>
      </x:c>
    </x:row>
    <x:row r="13" ht="39.599998474121094" hidden="0" customHeight="1">
      <x:c r="A13" s="14" t="str">
        <x:v>Medium</x:v>
      </x:c>
      <x:c r="B13" s="14" t="str">
        <x:v>Esri Ireland</x:v>
      </x:c>
      <x:c r="C13" s="14" t="str">
        <x:v>Graduate Programme</x:v>
      </x:c>
      <x:c r="D13" s="14" t="str">
        <x:v>Dublin</x:v>
      </x:c>
      <x:c r="E13" s="14" t="str">
        <x:v>Graduate</x:v>
      </x:c>
      <x:c r="F13" s="14" t="str">
        <x:v>Watchlist</x:v>
      </x:c>
      <x:c r="G13" s="15" t="n">
        <x:v>46252</x:v>
      </x:c>
      <x:c r="H13" s="15" t="n">
        <x:v>46387</x:v>
      </x:c>
      <x:c r="I13" s="14" t="str">
        <x:v>2027 intake</x:v>
      </x:c>
      <x:c r="J13" s="16" t="str"/>
      <x:c r="K13" s="14" t="n">
        <x:v>3</x:v>
      </x:c>
      <x:c r="L13" s="14" t="str">
        <x:v>Likely ineligible</x:v>
      </x:c>
      <x:c r="M13" s="14" t="str">
        <x:v>Requires degree from an institution in Republic of Ireland or Northern Ireland</x:v>
      </x:c>
      <x:c r="N13" s="14" t="str">
        <x:v>Graduate software</x:v>
      </x:c>
      <x:c r="O13" s="14" t="str">
        <x:v>Do not apply unless eligibility wording changes</x:v>
      </x:c>
      <x:c r="P13" s="15" t="n">
        <x:v>46266</x:v>
      </x:c>
      <x:c r="Q13" s="14" t="str">
        <x:v>https://www.esri-ireland.ie/en-ie/about/careers/graduate-program</x:v>
      </x:c>
      <x:c r="R13" s="14" t="str">
        <x:v>https://www.esri-ireland.ie/en-ie/about/careers/graduate-program</x:v>
      </x:c>
      <x:c r="S13" s="14" t="str">
        <x:v>Current published requirement appears to exclude overseas degrees.</x:v>
      </x:c>
      <x:c r="T13" s="15" t="n">
        <x:v>46252</x:v>
      </x:c>
    </x:row>
    <x:row r="14" ht="26.399999618530273" hidden="0" customHeight="1">
      <x:c r="A14" s="14" t="str">
        <x:v>Low</x:v>
      </x:c>
      <x:c r="B14" s="14" t="str">
        <x:v>Ryanair</x:v>
      </x:c>
      <x:c r="C14" s="14" t="str">
        <x:v>Software Development Graduate Programme</x:v>
      </x:c>
      <x:c r="D14" s="14" t="str">
        <x:v>Dublin</x:v>
      </x:c>
      <x:c r="E14" s="14" t="str">
        <x:v>Graduate</x:v>
      </x:c>
      <x:c r="F14" s="14" t="str">
        <x:v>Not eligible</x:v>
      </x:c>
      <x:c r="G14" s="15" t="n">
        <x:v>46252</x:v>
      </x:c>
      <x:c r="H14" s="15" t="str"/>
      <x:c r="I14" s="14" t="str">
        <x:v>2026</x:v>
      </x:c>
      <x:c r="J14" s="16" t="str"/>
      <x:c r="K14" s="14" t="n">
        <x:v>4</x:v>
      </x:c>
      <x:c r="L14" s="14" t="str">
        <x:v>Not eligible</x:v>
      </x:c>
      <x:c r="M14" s="14" t="str">
        <x:v>Requires unrestricted right to live and work in Ireland</x:v>
      </x:c>
      <x:c r="N14" s="14" t="str">
        <x:v>Graduate software</x:v>
      </x:c>
      <x:c r="O14" s="14" t="str">
        <x:v>Archive; do not spend tailoring time</x:v>
      </x:c>
      <x:c r="P14" s="15" t="str"/>
      <x:c r="Q14" s="14" t="str">
        <x:v>https://careers.ryanair.com/jobs/software-development-graduate-programme/</x:v>
      </x:c>
      <x:c r="R14" s="14" t="str">
        <x:v>https://careers.ryanair.com/jobs/software-development-graduate-programme/</x:v>
      </x:c>
      <x:c r="S14" s="14" t="str">
        <x:v>Technically relevant but fails stated work-right requirement.</x:v>
      </x:c>
      <x:c r="T14" s="15" t="n">
        <x:v>46252</x:v>
      </x:c>
    </x:row>
  </x:sheetData>
  <x:mergeCells>
    <x:mergeCell ref="A1:T1"/>
    <x:mergeCell ref="A2:T2"/>
  </x:mergeCells>
  <x:conditionalFormatting sqref="A5:A200">
    <x:cfRule type="containsText" dxfId="0" priority="1" operator="containsText" text="High"/>
  </x:conditionalFormatting>
  <x:conditionalFormatting sqref="F5:F200">
    <x:cfRule type="containsText" dxfId="1" priority="2" operator="containsText" text="Not eligible"/>
    <x:cfRule type="containsText" dxfId="2" priority="3" operator="containsText" text="Submitted"/>
  </x:conditionalFormatting>
  <x:conditionalFormatting sqref="L5:L200">
    <x:cfRule type="containsText" dxfId="3" priority="4" operator="containsText" text="Needs verification"/>
  </x:conditionalFormatting>
  <x:dataValidations count="5">
    <x:dataValidation type="list" sqref="A5:A200">
      <x:formula1>"High,Medium,Low"</x:formula1>
    </x:dataValidation>
    <x:dataValidation type="list" sqref="F5:F200">
      <x:formula1>"Watchlist,Research,Tailoring,Ready for review,Approved,Submitted,Interview,Offer,Rejected,Withdrawn,Not eligible,Closed / timing mismatch"</x:formula1>
    </x:dataValidation>
    <x:dataValidation type="whole" operator="between" sqref="K5:K200">
      <x:formula1>1</x:formula1>
      <x:formula2>5</x:formula2>
    </x:dataValidation>
    <x:dataValidation type="list" sqref="L5:L200">
      <x:formula1>"Strong potential,Needs verification,Likely ineligible,Not eligible"</x:formula1>
    </x:dataValidation>
    <x:dataValidation type="list" sqref="N5:N200">
      <x:formula1>"Master full-stack,Full-stack,Graduate software,Frontend,Backend"</x:formula1>
    </x:dataValidation>
  </x:dataValidations>
  <x:pageMargins left="0.7" right="0.7" top="0.75" bottom="0.75" header="0.3" footer="0.3"/>
  <x:legacyDrawing xmlns:r="http://schemas.openxmlformats.org/officeDocument/2006/relationships" r:id="R2d33264893e347fc"/>
  <x:tableParts count="1">
    <x:tablePart xmlns:r="http://schemas.openxmlformats.org/officeDocument/2006/relationships" r:id="Rf67cf90cb5b9449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0" customHeight="1">
      <x:c r="A1" s="2" t="str">
        <x:v>JOB SEARCH DASHBOARD</x:v>
      </x:c>
      <x:c r="B1" s="2"/>
      <x:c r="C1" s="2"/>
      <x:c r="D1" s="2"/>
      <x:c r="E1" s="2"/>
      <x:c r="F1" s="2"/>
      <x:c r="G1" s="2"/>
      <x:c r="H1" s="2"/>
    </x:row>
    <x:row r="3">
      <x:c r="A3" s="9" t="str">
        <x:v>Metric</x:v>
      </x:c>
      <x:c r="B3" s="9" t="str">
        <x:v>Count</x:v>
      </x:c>
      <x:c r="D3" s="8" t="str">
        <x:v>NEXT MILESTONES</x:v>
      </x:c>
      <x:c r="E3" s="8"/>
      <x:c r="F3" s="8"/>
      <x:c r="G3" s="8"/>
      <x:c r="H3" s="8"/>
    </x:row>
    <x:row r="4" ht="32" customHeight="1">
      <x:c r="A4" s="17" t="str">
        <x:v>Total leads</x:v>
      </x:c>
      <x:c r="B4" s="18" t="n">
        <x:f>COUNTA('Application Pipeline'!B5:B200)</x:f>
        <x:v>10</x:v>
      </x:c>
      <x:c r="D4" s="21" t="str">
        <x:v>1. Degree requirements complete 10 Nov 2026; earliest Ireland start Apr 2027.</x:v>
      </x:c>
      <x:c r="E4" s="21"/>
      <x:c r="F4" s="21"/>
      <x:c r="G4" s="21"/>
      <x:c r="H4" s="21"/>
    </x:row>
    <x:row r="5" ht="32" customHeight="1">
      <x:c r="A5" s="17" t="str">
        <x:v>High priority</x:v>
      </x:c>
      <x:c r="B5" s="18" t="n">
        <x:f>COUNTIF('Application Pipeline'!A5:A200,"High")</x:f>
        <x:v>3</x:v>
      </x:c>
      <x:c r="D5" s="21" t="str">
        <x:v>2. Contact licensed tech recruiters and replace watchlist rows with live vacancies.</x:v>
      </x:c>
      <x:c r="E5" s="21"/>
      <x:c r="F5" s="21"/>
      <x:c r="G5" s="21"/>
      <x:c r="H5" s="21"/>
    </x:row>
    <x:row r="6" ht="32" customHeight="1">
      <x:c r="A6" s="17" t="str">
        <x:v>Needs permit verification</x:v>
      </x:c>
      <x:c r="B6" s="18" t="n">
        <x:f>COUNTIF('Application Pipeline'!L5:L200,"Needs verification")</x:f>
        <x:v>7</x:v>
      </x:c>
      <x:c r="D6" s="21" t="str">
        <x:v>3. Prepare for EirGrid's 18 September 2026 opening.</x:v>
      </x:c>
      <x:c r="E6" s="21"/>
      <x:c r="F6" s="21"/>
      <x:c r="G6" s="21"/>
      <x:c r="H6" s="21"/>
    </x:row>
    <x:row r="7" ht="32" customHeight="1">
      <x:c r="A7" s="17" t="str">
        <x:v>Ready for review</x:v>
      </x:c>
      <x:c r="B7" s="18" t="n">
        <x:f>COUNTIF('Application Pipeline'!F5:F200,"Ready for review")</x:f>
        <x:v>0</x:v>
      </x:c>
      <x:c r="D7" s="21" t="str">
        <x:v>4. Verify each role's duties and basic salary against current permit rules.</x:v>
      </x:c>
      <x:c r="E7" s="21"/>
      <x:c r="F7" s="21"/>
      <x:c r="G7" s="21"/>
      <x:c r="H7" s="21"/>
    </x:row>
    <x:row r="8" ht="32" customHeight="1">
      <x:c r="A8" s="17" t="str">
        <x:v>Submitted</x:v>
      </x:c>
      <x:c r="B8" s="18" t="n">
        <x:f>COUNTIF('Application Pipeline'!F5:F200,"Submitted")</x:f>
        <x:v>0</x:v>
      </x:c>
      <x:c r="D8" s="21" t="str">
        <x:v>5. Tailor, review, approve, submit, and record confirmation.</x:v>
      </x:c>
      <x:c r="E8" s="21"/>
      <x:c r="F8" s="21"/>
      <x:c r="G8" s="21"/>
      <x:c r="H8" s="21"/>
    </x:row>
    <x:row r="9">
      <x:c r="A9" s="17" t="str">
        <x:v>Interviews</x:v>
      </x:c>
      <x:c r="B9" s="18" t="n">
        <x:f>COUNTIF('Application Pipeline'!F5:F200,"Interview")</x:f>
        <x:v>0</x:v>
      </x:c>
    </x:row>
  </x:sheetData>
  <x:mergeCells>
    <x:mergeCell ref="A1:H1"/>
    <x:mergeCell ref="D3:H3"/>
    <x:mergeCell ref="D4:H4"/>
    <x:mergeCell ref="D5:H5"/>
    <x:mergeCell ref="D6:H6"/>
    <x:mergeCell ref="D7:H7"/>
    <x:mergeCell ref="D8:H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4" hidden="0" customWidth="1"/>
    <x:col min="3" max="3" width="38" hidden="0" customWidth="1"/>
    <x:col min="4" max="4" width="55" hidden="0" customWidth="1"/>
  </x:cols>
  <x:sheetData>
    <x:row r="1">
      <x:c r="A1" s="2" t="str">
        <x:v>APPLICATION RULES AND DEFINITIONS</x:v>
      </x:c>
      <x:c r="B1" s="2"/>
      <x:c r="C1" s="2"/>
      <x:c r="D1" s="2"/>
    </x:row>
    <x:row r="3">
      <x:c r="A3" s="23" t="str">
        <x:v>Area</x:v>
      </x:c>
      <x:c r="B3" s="23" t="str">
        <x:v>Rule</x:v>
      </x:c>
      <x:c r="C3" s="23" t="str">
        <x:v>Evidence required</x:v>
      </x:c>
      <x:c r="D3" s="23" t="str">
        <x:v>Official source</x:v>
      </x:c>
    </x:row>
    <x:row r="4" ht="26.399999618530273" hidden="0" customHeight="1">
      <x:c r="A4" s="14" t="str">
        <x:v>Permit assessment</x:v>
      </x:c>
      <x:c r="B4" s="14" t="str">
        <x:v>Assess actual duties and SOC classification; job title alone is insufficient.</x:v>
      </x:c>
      <x:c r="C4" s="14" t="str">
        <x:v>Full vacancy, contract duties, salary and qualifications.</x:v>
      </x:c>
      <x:c r="D4" s="14" t="str">
        <x:v>https://enterprise.gov.ie/en/what-we-do/workplace-and-skills/employment-permits/employment-permit-eligibility/classification-of-employments/</x:v>
      </x:c>
    </x:row>
    <x:row r="5" ht="39.599998474121094" hidden="0" customHeight="1">
      <x:c r="A5" s="14" t="str">
        <x:v>Critical Skills list</x:v>
      </x:c>
      <x:c r="B5" s="14" t="str">
        <x:v>Programmers/software developers and web design/development professionals are listed as of August 2026.</x:v>
      </x:c>
      <x:c r="C5" s="14" t="str">
        <x:v>Current government list checked on application date.</x:v>
      </x:c>
      <x:c r="D5" s="14" t="str">
        <x:v>https://enterprise.gov.ie/en/what-we-do/workplace-and-skills/employment-permits/employment-permit-eligibility/highly-skilled-eligible-occupations-list/</x:v>
      </x:c>
    </x:row>
    <x:row r="6" ht="26.399999618530273" hidden="0" customHeight="1">
      <x:c r="A6" s="14" t="str">
        <x:v>Salary</x:v>
      </x:c>
      <x:c r="B6" s="14" t="str">
        <x:v>Use basic annual salary only and verify the current threshold before applying.</x:v>
      </x:c>
      <x:c r="C6" s="14" t="str">
        <x:v>Published salary or recruiter confirmation.</x:v>
      </x:c>
      <x:c r="D6" s="14" t="str">
        <x:v>https://enterprise.gov.ie/en/news-and-events/department-news/2025/december/20251202.html</x:v>
      </x:c>
    </x:row>
    <x:row r="7" ht="26.399999618530273" hidden="0" customHeight="1">
      <x:c r="A7" s="14" t="str">
        <x:v>Work authorization</x:v>
      </x:c>
      <x:c r="B7" s="14" t="str">
        <x:v>Never state that Joshua has unrestricted Irish work rights unless documentary status changes.</x:v>
      </x:c>
      <x:c r="C7" s="14" t="str">
        <x:v>Current immigration status confirmed by Joshua.</x:v>
      </x:c>
      <x:c r="D7" s="14" t="str">
        <x:v>https://enterprise.gov.ie/en/what-we-do/workplace-and-skills/employment-permits/</x:v>
      </x:c>
    </x:row>
    <x:row r="8" ht="26.399999618530273" hidden="0" customHeight="1">
      <x:c r="A8" s="14" t="str">
        <x:v>Application approval</x:v>
      </x:c>
      <x:c r="B8" s="14" t="str">
        <x:v>No submission before Joshua reviews the final CV, letter and screening answers.</x:v>
      </x:c>
      <x:c r="C8" s="14" t="str">
        <x:v>Explicit approval and submission confirmation.</x:v>
      </x:c>
      <x:c r="D8" s="14" t="str">
        <x:v>Internal workflow</x:v>
      </x:c>
    </x:row>
    <x:row r="9" ht="26.399999618530273" hidden="0" customHeight="1">
      <x:c r="A9" s="14" t="str">
        <x:v>Evidence integrity</x:v>
      </x:c>
      <x:c r="B9" s="14" t="str">
        <x:v>Do not convert prototypes, placeholders or planned features into production claims.</x:v>
      </x:c>
      <x:c r="C9" s="14" t="str">
        <x:v>Repository, deployment, document, certificate or stakeholder evidence.</x:v>
      </x:c>
      <x:c r="D9" s="14" t="str">
        <x:v>Internal workflow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1" hidden="0" customWidth="1"/>
    <x:col min="3" max="3" width="29" hidden="0" customWidth="1"/>
    <x:col min="4" max="4" width="20" hidden="0" customWidth="1"/>
    <x:col min="5" max="5" width="45" hidden="0" customWidth="1"/>
    <x:col min="6" max="6" width="48" hidden="0" customWidth="1"/>
    <x:col min="7" max="7" width="36" hidden="0" customWidth="1"/>
    <x:col min="8" max="8" width="12" hidden="0" customWidth="1"/>
    <x:col min="9" max="9" width="18" hidden="0" customWidth="1"/>
    <x:col min="10" max="10" width="13" hidden="0" customWidth="1"/>
  </x:cols>
  <x:sheetData>
    <x:row r="1" ht="30" customHeight="1">
      <x:c r="A1" s="2" t="str">
        <x:v>VERIFIED IRISH TECHNOLOGY RECRUITER DIRECTORY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34" customHeight="1">
      <x:c r="A2" s="26" t="str">
        <x:v>Contact only through the official site or listed domain. Ask whether the employer can consider a non-EEA graduate requiring an employment permit; no recruiter can guarantee sponsorship.</x:v>
      </x:c>
      <x:c r="B2" s="26"/>
      <x:c r="C2" s="26"/>
      <x:c r="D2" s="26"/>
      <x:c r="E2" s="26"/>
      <x:c r="F2" s="26"/>
      <x:c r="G2" s="26"/>
      <x:c r="H2" s="26"/>
      <x:c r="I2" s="26"/>
      <x:c r="J2" s="26"/>
    </x:row>
    <x:row r="4" ht="32" customHeight="1">
      <x:c r="A4" s="10" t="str">
        <x:v>Priority</x:v>
      </x:c>
      <x:c r="B4" s="10" t="str">
        <x:v>Agency</x:v>
      </x:c>
      <x:c r="C4" s="10" t="str">
        <x:v>Technology focus</x:v>
      </x:c>
      <x:c r="D4" s="10" t="str">
        <x:v>Irish base</x:v>
      </x:c>
      <x:c r="E4" s="10" t="str">
        <x:v>Best first contact</x:v>
      </x:c>
      <x:c r="F4" s="10" t="str">
        <x:v>Official contact</x:v>
      </x:c>
      <x:c r="G4" s="10" t="str">
        <x:v>WRC legal entity</x:v>
      </x:c>
      <x:c r="H4" s="10" t="str">
        <x:v>Licence</x:v>
      </x:c>
      <x:c r="I4" s="10" t="str">
        <x:v>Outreach status</x:v>
      </x:c>
      <x:c r="J4" s="10" t="str">
        <x:v>Last checked</x:v>
      </x:c>
    </x:row>
    <x:row r="5" ht="26.399999618530273" hidden="0" customHeight="1">
      <x:c r="A5" s="14" t="str">
        <x:v>High</x:v>
      </x:c>
      <x:c r="B5" s="14" t="str">
        <x:v>IT Search</x:v>
      </x:c>
      <x:c r="C5" s="14" t="str">
        <x:v>Software development, cloud, data and IT</x:v>
      </x:c>
      <x:c r="D5" s="14" t="str">
        <x:v>Dublin</x:v>
      </x:c>
      <x:c r="E5" s="14" t="str">
        <x:v>Graeme King, software-development recruiter: graeme.king@itsearch.ie | +353 87 4998421</x:v>
      </x:c>
      <x:c r="F5" s="14" t="str">
        <x:v>https://itsearch.ie/team/graeme-king/</x:v>
      </x:c>
      <x:c r="G5" s="14" t="str">
        <x:v>Vertical Markets Group Ltd</x:v>
      </x:c>
      <x:c r="H5" s="14" t="str">
        <x:v>EA 4262</x:v>
      </x:c>
      <x:c r="I5" s="14" t="str">
        <x:v>Contacted</x:v>
      </x:c>
      <x:c r="J5" s="15" t="n">
        <x:v>46254</x:v>
      </x:c>
    </x:row>
    <x:row r="6" ht="15" hidden="0" customHeight="1">
      <x:c r="A6" s="14" t="str">
        <x:v>High</x:v>
      </x:c>
      <x:c r="B6" s="14" t="str">
        <x:v>Stelfox</x:v>
      </x:c>
      <x:c r="C6" s="14" t="str">
        <x:v>Technology and digital recruitment</x:v>
      </x:c>
      <x:c r="D6" s="14" t="str">
        <x:v>Dublin, Cork, Galway</x:v>
      </x:c>
      <x:c r="E6" s="14" t="str">
        <x:v>dublin@stelfox.com | +353 1 679 3182</x:v>
      </x:c>
      <x:c r="F6" s="14" t="str">
        <x:v>https://www.stelfox.com/branches</x:v>
      </x:c>
      <x:c r="G6" s="14" t="str">
        <x:v>Stelfox Ltd</x:v>
      </x:c>
      <x:c r="H6" s="14" t="str">
        <x:v>EA 2059</x:v>
      </x:c>
      <x:c r="I6" s="14" t="str">
        <x:v>Contacted</x:v>
      </x:c>
      <x:c r="J6" s="15" t="n">
        <x:v>46258</x:v>
      </x:c>
    </x:row>
    <x:row r="7" ht="15" hidden="0" customHeight="1">
      <x:c r="A7" s="14" t="str">
        <x:v>High</x:v>
      </x:c>
      <x:c r="B7" s="14" t="str">
        <x:v>GemPool</x:v>
      </x:c>
      <x:c r="C7" s="14" t="str">
        <x:v>Technology recruitment</x:v>
      </x:c>
      <x:c r="D7" s="14" t="str">
        <x:v>Dublin</x:v>
      </x:c>
      <x:c r="E7" s="14" t="str">
        <x:v>info@gempool.ie | +353 1 913 6804</x:v>
      </x:c>
      <x:c r="F7" s="14" t="str">
        <x:v>https://www.gempool.ie/contact/</x:v>
      </x:c>
      <x:c r="G7" s="14" t="str">
        <x:v>GemPool Ltd</x:v>
      </x:c>
      <x:c r="H7" s="14" t="str">
        <x:v>EA 3546</x:v>
      </x:c>
      <x:c r="I7" s="14" t="str">
        <x:v>Contacted</x:v>
      </x:c>
      <x:c r="J7" s="15" t="n">
        <x:v>46254</x:v>
      </x:c>
    </x:row>
    <x:row r="8" ht="15" hidden="0" customHeight="1">
      <x:c r="A8" s="14" t="str">
        <x:v>High</x:v>
      </x:c>
      <x:c r="B8" s="14" t="str">
        <x:v>Archer Recruitment</x:v>
      </x:c>
      <x:c r="C8" s="14" t="str">
        <x:v>IT, data and change</x:v>
      </x:c>
      <x:c r="D8" s="14" t="str">
        <x:v>Dublin</x:v>
      </x:c>
      <x:c r="E8" s="14" t="str">
        <x:v>info@archer.ie | +353 1 649 8500</x:v>
      </x:c>
      <x:c r="F8" s="14" t="str">
        <x:v>https://www.archer.ie/contact/</x:v>
      </x:c>
      <x:c r="G8" s="14" t="str">
        <x:v>Recport Ltd</x:v>
      </x:c>
      <x:c r="H8" s="14" t="str">
        <x:v>EA 3658</x:v>
      </x:c>
      <x:c r="I8" s="14" t="str">
        <x:v>Contacted</x:v>
      </x:c>
      <x:c r="J8" s="15" t="n">
        <x:v>46258</x:v>
      </x:c>
    </x:row>
    <x:row r="9" ht="15" hidden="0" customHeight="1">
      <x:c r="A9" s="14" t="str">
        <x:v>Medium</x:v>
      </x:c>
      <x:c r="B9" s="14" t="str">
        <x:v>Morgan McKinley</x:v>
      </x:c>
      <x:c r="C9" s="14" t="str">
        <x:v>Technology recruitment</x:v>
      </x:c>
      <x:c r="D9" s="14" t="str">
        <x:v>Dublin</x:v>
      </x:c>
      <x:c r="E9" s="14" t="str">
        <x:v>Technology team | +353 1 432 1567</x:v>
      </x:c>
      <x:c r="F9" s="14" t="str">
        <x:v>https://www.morganmckinley.com/ie/about/contact-us/dublin</x:v>
      </x:c>
      <x:c r="G9" s="14" t="str">
        <x:v>Premier Recruitment International Ltd</x:v>
      </x:c>
      <x:c r="H9" s="14" t="str">
        <x:v>EA 1080</x:v>
      </x:c>
      <x:c r="I9" s="14" t="str">
        <x:v>Not contacted</x:v>
      </x:c>
      <x:c r="J9" s="15" t="n">
        <x:v>46254</x:v>
      </x:c>
    </x:row>
    <x:row r="10" ht="26.399999618530273" hidden="0" customHeight="1">
      <x:c r="A10" s="14" t="str">
        <x:v>Medium</x:v>
      </x:c>
      <x:c r="B10" s="14" t="str">
        <x:v>Hays</x:v>
      </x:c>
      <x:c r="C10" s="14" t="str">
        <x:v>Software development and technology</x:v>
      </x:c>
      <x:c r="D10" s="14" t="str">
        <x:v>Dublin, Cork, Galway, Limerick</x:v>
      </x:c>
      <x:c r="E10" s="14" t="str">
        <x:v>Dublin office | +353 1 571 0010</x:v>
      </x:c>
      <x:c r="F10" s="14" t="str">
        <x:v>https://www.hays.ie/contact/offices-near-me</x:v>
      </x:c>
      <x:c r="G10" s="14" t="str">
        <x:v>Hays Specialist Recruitment (Ireland) Ltd</x:v>
      </x:c>
      <x:c r="H10" s="14" t="str">
        <x:v>EA 1273</x:v>
      </x:c>
      <x:c r="I10" s="14" t="str">
        <x:v>Not contacted</x:v>
      </x:c>
      <x:c r="J10" s="15" t="n">
        <x:v>46254</x:v>
      </x:c>
    </x:row>
    <x:row r="11" ht="15" hidden="0" customHeight="1">
      <x:c r="A11" s="14" t="str">
        <x:v>Medium</x:v>
      </x:c>
      <x:c r="B11" s="14" t="str">
        <x:v>Reperio Human Capital</x:v>
      </x:c>
      <x:c r="C11" s="14" t="str">
        <x:v>IT recruitment</x:v>
      </x:c>
      <x:c r="D11" s="14" t="str">
        <x:v>Dublin</x:v>
      </x:c>
      <x:c r="E11" s="14" t="str">
        <x:v>Official contact form</x:v>
      </x:c>
      <x:c r="F11" s="14" t="str">
        <x:v>https://www.reperiohumancapital.com/contact-us</x:v>
      </x:c>
      <x:c r="G11" s="14" t="str">
        <x:v>Reperio Human Capital (Ireland) Ltd</x:v>
      </x:c>
      <x:c r="H11" s="14" t="str">
        <x:v>EA 4024</x:v>
      </x:c>
      <x:c r="I11" s="14" t="str">
        <x:v>Not contacted</x:v>
      </x:c>
      <x:c r="J11" s="15" t="n">
        <x:v>46254</x:v>
      </x:c>
    </x:row>
    <x:row r="12" ht="26.399999618530273" hidden="0" customHeight="1">
      <x:c r="A12" s="14" t="str">
        <x:v>Medium</x:v>
      </x:c>
      <x:c r="B12" s="14" t="str">
        <x:v>Berkley Group</x:v>
      </x:c>
      <x:c r="C12" s="14" t="str">
        <x:v>Software engineering, digital and IT</x:v>
      </x:c>
      <x:c r="D12" s="14" t="str">
        <x:v>Cork</x:v>
      </x:c>
      <x:c r="E12" s="14" t="str">
        <x:v>Technology recruitment page / consultant directory</x:v>
      </x:c>
      <x:c r="F12" s="14" t="str">
        <x:v>https://www.berkley-group.com/digital-technology-it-recruitment/</x:v>
      </x:c>
      <x:c r="G12" s="14" t="str">
        <x:v>Berkley Recruitment (Group) Ltd</x:v>
      </x:c>
      <x:c r="H12" s="14" t="str">
        <x:v>EA 1260</x:v>
      </x:c>
      <x:c r="I12" s="14" t="str">
        <x:v>Not contacted</x:v>
      </x:c>
      <x:c r="J12" s="15" t="n">
        <x:v>46254</x:v>
      </x:c>
    </x:row>
  </x:sheetData>
  <x:mergeCells>
    <x:mergeCell ref="A1:J1"/>
    <x:mergeCell ref="A2:J2"/>
  </x:mergeCells>
  <x:dataValidations count="2">
    <x:dataValidation type="list" sqref="A5:A200">
      <x:formula1>"High,Medium,Low"</x:formula1>
    </x:dataValidation>
    <x:dataValidation type="list" sqref="I5:I200">
      <x:formula1>"Not contacted,Message drafted,Contacted,Replied,Follow-up due,Closed"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f91e1432654ce8"/>
  </x:tableParts>
</x:worksheet>
</file>